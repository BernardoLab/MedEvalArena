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bernardo/Documents/pyres/MedEvalArena/data/"/>
    </mc:Choice>
  </mc:AlternateContent>
  <xr:revisionPtr revIDLastSave="0" documentId="13_ncr:1_{E372D8AF-BDDD-7E4E-BCD6-810CA86EEDA8}" xr6:coauthVersionLast="47" xr6:coauthVersionMax="47" xr10:uidLastSave="{00000000-0000-0000-0000-000000000000}"/>
  <bookViews>
    <workbookView xWindow="9780" yWindow="9100" windowWidth="27640" windowHeight="16940" xr2:uid="{41D9ADB0-3322-244A-AF29-AD7E196382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L23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6" i="1"/>
  <c r="L5" i="1"/>
  <c r="L4" i="1"/>
  <c r="L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" i="1"/>
  <c r="J13" i="1"/>
  <c r="J14" i="1"/>
  <c r="J15" i="1"/>
  <c r="J16" i="1"/>
  <c r="J17" i="1"/>
  <c r="J18" i="1"/>
  <c r="J19" i="1"/>
  <c r="J21" i="1"/>
  <c r="J22" i="1"/>
  <c r="J3" i="1"/>
  <c r="J2" i="1"/>
  <c r="H12" i="1"/>
  <c r="J12" i="1" s="1"/>
  <c r="H11" i="1"/>
  <c r="J11" i="1" s="1"/>
  <c r="H10" i="1"/>
  <c r="J10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20" i="1"/>
  <c r="J20" i="1" s="1"/>
  <c r="H3" i="1"/>
  <c r="H2" i="1"/>
  <c r="K23" i="1" l="1"/>
  <c r="J23" i="1"/>
  <c r="H23" i="1"/>
</calcChain>
</file>

<file path=xl/sharedStrings.xml><?xml version="1.0" encoding="utf-8"?>
<sst xmlns="http://schemas.openxmlformats.org/spreadsheetml/2006/main" count="86" uniqueCount="61">
  <si>
    <t>Clinical Domain</t>
  </si>
  <si>
    <t>Family Medicine Topic</t>
  </si>
  <si>
    <t>FM %</t>
  </si>
  <si>
    <t>FM Include</t>
  </si>
  <si>
    <t>Internal Medicine Topic</t>
  </si>
  <si>
    <t>IM %</t>
  </si>
  <si>
    <t>IM Include</t>
  </si>
  <si>
    <t>Cardiovascular</t>
  </si>
  <si>
    <t>Endocrine / Metabolic</t>
  </si>
  <si>
    <t>Endocrine</t>
  </si>
  <si>
    <t>Endocrinology, Diabetes, and Metabolism</t>
  </si>
  <si>
    <t>Gastrointestinal</t>
  </si>
  <si>
    <t>Gastroenterology</t>
  </si>
  <si>
    <t>Respiratory</t>
  </si>
  <si>
    <t>Pulmonary Disease</t>
  </si>
  <si>
    <t>Nephrologic</t>
  </si>
  <si>
    <t>Nephrology and Urology</t>
  </si>
  <si>
    <t>Hematologic / Immune</t>
  </si>
  <si>
    <t>Hematology</t>
  </si>
  <si>
    <t>Musculoskeletal</t>
  </si>
  <si>
    <t>Rheumatology and Orthopedics</t>
  </si>
  <si>
    <t>Dermatologic</t>
  </si>
  <si>
    <t>Integumentary</t>
  </si>
  <si>
    <t>Dermatology</t>
  </si>
  <si>
    <t>Neurologic</t>
  </si>
  <si>
    <t>Neurology</t>
  </si>
  <si>
    <t>Psychiatric</t>
  </si>
  <si>
    <t>Psychogenic</t>
  </si>
  <si>
    <t>Psychiatry</t>
  </si>
  <si>
    <t>Reproductive / Women’s Health</t>
  </si>
  <si>
    <t>Reproductive – Female</t>
  </si>
  <si>
    <t>Obstetrics and Gynecology</t>
  </si>
  <si>
    <t>Reproductive / Men’s Health</t>
  </si>
  <si>
    <t>Reproductive – Male</t>
  </si>
  <si>
    <t>—</t>
  </si>
  <si>
    <t>Infectious Disease</t>
  </si>
  <si>
    <t>Medical Oncology</t>
  </si>
  <si>
    <t>Allergy / Immunology</t>
  </si>
  <si>
    <t>Allergy and Immunology</t>
  </si>
  <si>
    <t>Geriatrics</t>
  </si>
  <si>
    <t>Geriatric Syndromes</t>
  </si>
  <si>
    <t>ENT / Dental</t>
  </si>
  <si>
    <t>Otolaryngology and Dental Medicine</t>
  </si>
  <si>
    <t>Ophthalmology</t>
  </si>
  <si>
    <t>General / Miscellaneous</t>
  </si>
  <si>
    <t>Nonspecific</t>
  </si>
  <si>
    <t>Miscellaneous</t>
  </si>
  <si>
    <t>Population / Systems-Based Care</t>
  </si>
  <si>
    <t>Population-based Care</t>
  </si>
  <si>
    <t>Patient-Centered / Ethics</t>
  </si>
  <si>
    <t>Patient-based Systems</t>
  </si>
  <si>
    <t>Nephrology</t>
  </si>
  <si>
    <t>Pulmonary</t>
  </si>
  <si>
    <t>Neurologic/Special Sensory</t>
  </si>
  <si>
    <t>Union Raw %</t>
  </si>
  <si>
    <t>Union Include</t>
  </si>
  <si>
    <t>Rheumatology/Musculoskeletal</t>
  </si>
  <si>
    <t xml:space="preserve"> Union Raw %</t>
  </si>
  <si>
    <t xml:space="preserve"> Union % Norm</t>
  </si>
  <si>
    <t>Union Num Q 50</t>
  </si>
  <si>
    <t>Union Num Q 50 (rounded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</si>
</sst>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85C0-D1D5-9D44-BC42-0E6A299BD8C4}">
  <dimension ref="A1:M23"/>
  <sheetViews>
    <sheetView tabSelected="1" topLeftCell="C4" workbookViewId="0">
      <selection activeCell="N14" sqref="N14"/>
    </sheetView>
  </sheetViews>
  <sheetFormatPr baseColWidth="10" defaultRowHeight="16" x14ac:dyDescent="0.2"/>
  <cols>
    <col min="1" max="1" width="39.1640625" customWidth="1"/>
    <col min="2" max="2" width="17.6640625" customWidth="1"/>
    <col min="3" max="3" width="31.6640625" customWidth="1"/>
    <col min="6" max="6" width="41.3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54</v>
      </c>
      <c r="I1" s="1" t="s">
        <v>55</v>
      </c>
      <c r="J1" s="1" t="s">
        <v>57</v>
      </c>
      <c r="K1" s="1" t="s">
        <v>58</v>
      </c>
      <c r="L1" s="1" t="s">
        <v>59</v>
      </c>
      <c r="M1" s="1" t="s">
        <v>60</v>
      </c>
    </row>
    <row r="2" spans="1:13" x14ac:dyDescent="0.2">
      <c r="A2" s="1" t="s">
        <v>7</v>
      </c>
      <c r="B2" t="s">
        <v>7</v>
      </c>
      <c r="C2" s="2">
        <v>0.12</v>
      </c>
      <c r="D2">
        <v>1</v>
      </c>
      <c r="E2" t="s">
        <v>7</v>
      </c>
      <c r="F2" s="2">
        <v>0.14000000000000001</v>
      </c>
      <c r="G2">
        <v>1</v>
      </c>
      <c r="H2" s="3">
        <f>(C2+F2)/2</f>
        <v>0.13</v>
      </c>
      <c r="I2">
        <v>1</v>
      </c>
      <c r="J2">
        <f>H2*I2</f>
        <v>0.13</v>
      </c>
      <c r="K2">
        <f>J2/0.8</f>
        <v>0.16250000000000001</v>
      </c>
      <c r="L2">
        <f>K2*15</f>
        <v>2.4375</v>
      </c>
      <c r="M2">
        <v>2</v>
      </c>
    </row>
    <row r="3" spans="1:13" x14ac:dyDescent="0.2">
      <c r="A3" s="1" t="s">
        <v>8</v>
      </c>
      <c r="B3" t="s">
        <v>9</v>
      </c>
      <c r="C3" s="2">
        <v>0.08</v>
      </c>
      <c r="D3">
        <v>1</v>
      </c>
      <c r="E3" t="s">
        <v>10</v>
      </c>
      <c r="F3" s="2">
        <v>0.09</v>
      </c>
      <c r="G3">
        <v>1</v>
      </c>
      <c r="H3" s="3">
        <f>(C3+F3)/2</f>
        <v>8.4999999999999992E-2</v>
      </c>
      <c r="I3">
        <v>1</v>
      </c>
      <c r="J3">
        <f>H3*I3</f>
        <v>8.4999999999999992E-2</v>
      </c>
      <c r="K3">
        <f t="shared" ref="K3:K22" si="0">J3/0.8</f>
        <v>0.10624999999999998</v>
      </c>
      <c r="L3">
        <f>K3*15</f>
        <v>1.5937499999999998</v>
      </c>
      <c r="M3">
        <v>2</v>
      </c>
    </row>
    <row r="4" spans="1:13" x14ac:dyDescent="0.2">
      <c r="A4" s="1" t="s">
        <v>11</v>
      </c>
      <c r="B4" t="s">
        <v>11</v>
      </c>
      <c r="C4" s="2">
        <v>7.0000000000000007E-2</v>
      </c>
      <c r="D4">
        <v>1</v>
      </c>
      <c r="E4" t="s">
        <v>12</v>
      </c>
      <c r="F4" s="2">
        <v>0.09</v>
      </c>
      <c r="G4">
        <v>1</v>
      </c>
      <c r="H4" s="3">
        <f>(C4+F4)/2</f>
        <v>0.08</v>
      </c>
      <c r="I4">
        <v>1</v>
      </c>
      <c r="J4">
        <f t="shared" ref="J4:J8" si="1">H4*I4</f>
        <v>0.08</v>
      </c>
      <c r="K4">
        <f t="shared" si="0"/>
        <v>9.9999999999999992E-2</v>
      </c>
      <c r="L4">
        <f>K4*15</f>
        <v>1.4999999999999998</v>
      </c>
      <c r="M4">
        <v>2</v>
      </c>
    </row>
    <row r="5" spans="1:13" x14ac:dyDescent="0.2">
      <c r="A5" s="1" t="s">
        <v>52</v>
      </c>
      <c r="B5" t="s">
        <v>13</v>
      </c>
      <c r="C5" s="2">
        <v>0.13</v>
      </c>
      <c r="D5">
        <v>1</v>
      </c>
      <c r="E5" t="s">
        <v>14</v>
      </c>
      <c r="F5" s="2">
        <v>0.09</v>
      </c>
      <c r="G5">
        <v>1</v>
      </c>
      <c r="H5" s="3">
        <f>(C5+F5)/2</f>
        <v>0.11</v>
      </c>
      <c r="I5">
        <v>1</v>
      </c>
      <c r="J5">
        <f t="shared" si="1"/>
        <v>0.11</v>
      </c>
      <c r="K5">
        <f t="shared" si="0"/>
        <v>0.13749999999999998</v>
      </c>
      <c r="L5">
        <f>K5*15</f>
        <v>2.0624999999999996</v>
      </c>
      <c r="M5">
        <v>2</v>
      </c>
    </row>
    <row r="6" spans="1:13" x14ac:dyDescent="0.2">
      <c r="A6" s="1" t="s">
        <v>51</v>
      </c>
      <c r="B6" t="s">
        <v>15</v>
      </c>
      <c r="C6" s="2">
        <v>0.03</v>
      </c>
      <c r="D6">
        <v>1</v>
      </c>
      <c r="E6" t="s">
        <v>16</v>
      </c>
      <c r="F6" s="2">
        <v>0.06</v>
      </c>
      <c r="G6">
        <v>1</v>
      </c>
      <c r="H6" s="3">
        <f>(C6+F6)/2</f>
        <v>4.4999999999999998E-2</v>
      </c>
      <c r="I6">
        <v>1</v>
      </c>
      <c r="J6">
        <f t="shared" si="1"/>
        <v>4.4999999999999998E-2</v>
      </c>
      <c r="K6">
        <f t="shared" si="0"/>
        <v>5.6249999999999994E-2</v>
      </c>
      <c r="L6">
        <f>K6*15</f>
        <v>0.84374999999999989</v>
      </c>
      <c r="M6">
        <v>1</v>
      </c>
    </row>
    <row r="7" spans="1:13" x14ac:dyDescent="0.2">
      <c r="A7" s="1" t="s">
        <v>17</v>
      </c>
      <c r="B7" t="s">
        <v>17</v>
      </c>
      <c r="C7" s="2">
        <v>0.03</v>
      </c>
      <c r="D7">
        <v>1</v>
      </c>
      <c r="E7" t="s">
        <v>18</v>
      </c>
      <c r="F7" s="2">
        <v>0.06</v>
      </c>
      <c r="G7">
        <v>1</v>
      </c>
      <c r="H7" s="3">
        <f>(C7+F7)/2</f>
        <v>4.4999999999999998E-2</v>
      </c>
      <c r="I7">
        <v>1</v>
      </c>
      <c r="J7">
        <f t="shared" si="1"/>
        <v>4.4999999999999998E-2</v>
      </c>
      <c r="K7">
        <f t="shared" si="0"/>
        <v>5.6249999999999994E-2</v>
      </c>
      <c r="L7">
        <f t="shared" ref="L7:L22" si="2">K7*15</f>
        <v>0.84374999999999989</v>
      </c>
      <c r="M7">
        <v>1</v>
      </c>
    </row>
    <row r="8" spans="1:13" x14ac:dyDescent="0.2">
      <c r="A8" s="1" t="s">
        <v>56</v>
      </c>
      <c r="B8" t="s">
        <v>19</v>
      </c>
      <c r="C8" s="2">
        <v>0.12</v>
      </c>
      <c r="D8">
        <v>1</v>
      </c>
      <c r="E8" t="s">
        <v>20</v>
      </c>
      <c r="F8" s="2">
        <v>0.09</v>
      </c>
      <c r="G8">
        <v>1</v>
      </c>
      <c r="H8" s="3">
        <f>(C8+F8)/2</f>
        <v>0.105</v>
      </c>
      <c r="I8">
        <v>1</v>
      </c>
      <c r="J8">
        <f t="shared" si="1"/>
        <v>0.105</v>
      </c>
      <c r="K8">
        <f t="shared" si="0"/>
        <v>0.13124999999999998</v>
      </c>
      <c r="L8">
        <f t="shared" si="2"/>
        <v>1.9687499999999996</v>
      </c>
      <c r="M8">
        <v>2</v>
      </c>
    </row>
    <row r="9" spans="1:13" x14ac:dyDescent="0.2">
      <c r="A9" s="1" t="s">
        <v>21</v>
      </c>
      <c r="B9" t="s">
        <v>22</v>
      </c>
      <c r="C9" s="2">
        <v>0.06</v>
      </c>
      <c r="D9">
        <v>1</v>
      </c>
      <c r="E9" t="s">
        <v>23</v>
      </c>
      <c r="F9" s="2">
        <v>0.03</v>
      </c>
      <c r="G9">
        <v>1</v>
      </c>
      <c r="H9" s="3">
        <f>(C9+F9)/2</f>
        <v>4.4999999999999998E-2</v>
      </c>
      <c r="I9">
        <v>0</v>
      </c>
      <c r="J9">
        <f>H9*I9</f>
        <v>0</v>
      </c>
      <c r="K9">
        <f t="shared" si="0"/>
        <v>0</v>
      </c>
      <c r="L9">
        <f t="shared" si="2"/>
        <v>0</v>
      </c>
    </row>
    <row r="10" spans="1:13" x14ac:dyDescent="0.2">
      <c r="A10" s="1" t="s">
        <v>24</v>
      </c>
      <c r="B10" t="s">
        <v>53</v>
      </c>
      <c r="C10" s="2">
        <v>0.04</v>
      </c>
      <c r="D10">
        <v>0</v>
      </c>
      <c r="E10" t="s">
        <v>25</v>
      </c>
      <c r="F10" s="2">
        <v>0.04</v>
      </c>
      <c r="G10">
        <v>0</v>
      </c>
      <c r="H10" s="3">
        <f>(C10+F10)/2</f>
        <v>0.04</v>
      </c>
      <c r="I10">
        <v>0</v>
      </c>
      <c r="J10">
        <f>H10*I10</f>
        <v>0</v>
      </c>
      <c r="K10">
        <f t="shared" si="0"/>
        <v>0</v>
      </c>
      <c r="L10">
        <f t="shared" si="2"/>
        <v>0</v>
      </c>
    </row>
    <row r="11" spans="1:13" x14ac:dyDescent="0.2">
      <c r="A11" s="1" t="s">
        <v>26</v>
      </c>
      <c r="B11" t="s">
        <v>27</v>
      </c>
      <c r="C11" s="2">
        <v>7.0000000000000007E-2</v>
      </c>
      <c r="D11">
        <v>0</v>
      </c>
      <c r="E11" t="s">
        <v>28</v>
      </c>
      <c r="F11" s="2">
        <v>0.04</v>
      </c>
      <c r="G11">
        <v>0</v>
      </c>
      <c r="H11" s="3">
        <f>(C11+F11)/2</f>
        <v>5.5000000000000007E-2</v>
      </c>
      <c r="I11">
        <v>0</v>
      </c>
      <c r="J11">
        <f>H11*I11</f>
        <v>0</v>
      </c>
      <c r="K11">
        <f t="shared" si="0"/>
        <v>0</v>
      </c>
      <c r="L11">
        <f t="shared" si="2"/>
        <v>0</v>
      </c>
    </row>
    <row r="12" spans="1:13" x14ac:dyDescent="0.2">
      <c r="A12" s="1" t="s">
        <v>29</v>
      </c>
      <c r="B12" t="s">
        <v>30</v>
      </c>
      <c r="C12" s="2">
        <v>0.04</v>
      </c>
      <c r="D12">
        <v>1</v>
      </c>
      <c r="E12" t="s">
        <v>31</v>
      </c>
      <c r="F12" s="2">
        <v>0.03</v>
      </c>
      <c r="G12">
        <v>0</v>
      </c>
      <c r="H12" s="3">
        <f>(C12+F12)/2</f>
        <v>3.5000000000000003E-2</v>
      </c>
      <c r="I12">
        <v>0</v>
      </c>
      <c r="J12">
        <f>H12*I12</f>
        <v>0</v>
      </c>
      <c r="K12">
        <f t="shared" si="0"/>
        <v>0</v>
      </c>
      <c r="L12">
        <f t="shared" si="2"/>
        <v>0</v>
      </c>
    </row>
    <row r="13" spans="1:13" x14ac:dyDescent="0.2">
      <c r="A13" s="1" t="s">
        <v>32</v>
      </c>
      <c r="B13" t="s">
        <v>33</v>
      </c>
      <c r="C13" s="2">
        <v>0.01</v>
      </c>
      <c r="D13">
        <v>0</v>
      </c>
      <c r="E13" t="s">
        <v>34</v>
      </c>
      <c r="F13" t="s">
        <v>34</v>
      </c>
      <c r="G13" t="s">
        <v>34</v>
      </c>
      <c r="H13">
        <v>0</v>
      </c>
      <c r="I13">
        <v>0</v>
      </c>
      <c r="J13">
        <f>H13*I13</f>
        <v>0</v>
      </c>
      <c r="K13">
        <f t="shared" si="0"/>
        <v>0</v>
      </c>
      <c r="L13">
        <f t="shared" si="2"/>
        <v>0</v>
      </c>
    </row>
    <row r="14" spans="1:13" x14ac:dyDescent="0.2">
      <c r="A14" s="1" t="s">
        <v>35</v>
      </c>
      <c r="B14" t="s">
        <v>34</v>
      </c>
      <c r="D14" t="s">
        <v>34</v>
      </c>
      <c r="E14" t="s">
        <v>35</v>
      </c>
      <c r="F14" s="2">
        <v>0.09</v>
      </c>
      <c r="G14">
        <v>1</v>
      </c>
      <c r="H14" s="2">
        <v>0.09</v>
      </c>
      <c r="I14">
        <v>1</v>
      </c>
      <c r="J14">
        <f>H14*I14</f>
        <v>0.09</v>
      </c>
      <c r="K14">
        <f t="shared" si="0"/>
        <v>0.11249999999999999</v>
      </c>
      <c r="L14">
        <f t="shared" si="2"/>
        <v>1.6874999999999998</v>
      </c>
      <c r="M14">
        <v>2</v>
      </c>
    </row>
    <row r="15" spans="1:13" x14ac:dyDescent="0.2">
      <c r="A15" s="1" t="s">
        <v>36</v>
      </c>
      <c r="B15" t="s">
        <v>34</v>
      </c>
      <c r="D15" t="s">
        <v>34</v>
      </c>
      <c r="E15" t="s">
        <v>36</v>
      </c>
      <c r="F15" s="2">
        <v>0.06</v>
      </c>
      <c r="G15">
        <v>1</v>
      </c>
      <c r="H15" s="2">
        <v>0.06</v>
      </c>
      <c r="I15">
        <v>1</v>
      </c>
      <c r="J15">
        <f>H15*I15</f>
        <v>0.06</v>
      </c>
      <c r="K15">
        <f t="shared" si="0"/>
        <v>7.4999999999999997E-2</v>
      </c>
      <c r="L15">
        <f t="shared" si="2"/>
        <v>1.125</v>
      </c>
      <c r="M15">
        <v>1</v>
      </c>
    </row>
    <row r="16" spans="1:13" x14ac:dyDescent="0.2">
      <c r="A16" s="1" t="s">
        <v>37</v>
      </c>
      <c r="B16" t="s">
        <v>34</v>
      </c>
      <c r="D16" t="s">
        <v>34</v>
      </c>
      <c r="E16" t="s">
        <v>38</v>
      </c>
      <c r="F16" s="2">
        <v>0.02</v>
      </c>
      <c r="G16">
        <v>1</v>
      </c>
      <c r="H16" s="2">
        <v>0.02</v>
      </c>
      <c r="I16">
        <v>1</v>
      </c>
      <c r="J16">
        <f>H16*I16</f>
        <v>0.02</v>
      </c>
      <c r="K16">
        <f t="shared" si="0"/>
        <v>2.4999999999999998E-2</v>
      </c>
      <c r="L16">
        <f t="shared" si="2"/>
        <v>0.37499999999999994</v>
      </c>
      <c r="M16">
        <v>1</v>
      </c>
    </row>
    <row r="17" spans="1:13" x14ac:dyDescent="0.2">
      <c r="A17" s="1" t="s">
        <v>39</v>
      </c>
      <c r="B17" t="s">
        <v>34</v>
      </c>
      <c r="D17" t="s">
        <v>34</v>
      </c>
      <c r="E17" t="s">
        <v>40</v>
      </c>
      <c r="F17" s="2">
        <v>0.03</v>
      </c>
      <c r="G17">
        <v>1</v>
      </c>
      <c r="H17" s="2">
        <v>0.03</v>
      </c>
      <c r="I17">
        <v>1</v>
      </c>
      <c r="J17">
        <f>H17*I17</f>
        <v>0.03</v>
      </c>
      <c r="K17">
        <f t="shared" si="0"/>
        <v>3.7499999999999999E-2</v>
      </c>
      <c r="L17">
        <f t="shared" si="2"/>
        <v>0.5625</v>
      </c>
      <c r="M17">
        <v>1</v>
      </c>
    </row>
    <row r="18" spans="1:13" x14ac:dyDescent="0.2">
      <c r="A18" s="1" t="s">
        <v>41</v>
      </c>
      <c r="B18" t="s">
        <v>34</v>
      </c>
      <c r="C18" s="2">
        <v>0.02</v>
      </c>
      <c r="D18">
        <v>0</v>
      </c>
      <c r="E18" t="s">
        <v>42</v>
      </c>
      <c r="F18" s="2">
        <v>0.01</v>
      </c>
      <c r="G18">
        <v>0</v>
      </c>
      <c r="H18">
        <v>0</v>
      </c>
      <c r="I18">
        <v>0</v>
      </c>
      <c r="J18">
        <f>H18*I18</f>
        <v>0</v>
      </c>
      <c r="K18">
        <f t="shared" si="0"/>
        <v>0</v>
      </c>
      <c r="L18">
        <f t="shared" si="2"/>
        <v>0</v>
      </c>
    </row>
    <row r="19" spans="1:13" x14ac:dyDescent="0.2">
      <c r="A19" s="1" t="s">
        <v>43</v>
      </c>
      <c r="B19" t="s">
        <v>34</v>
      </c>
      <c r="C19" s="2">
        <v>0.02</v>
      </c>
      <c r="D19">
        <v>0</v>
      </c>
      <c r="E19" t="s">
        <v>43</v>
      </c>
      <c r="F19" s="2">
        <v>0.01</v>
      </c>
      <c r="G19">
        <v>0</v>
      </c>
      <c r="H19">
        <v>0</v>
      </c>
      <c r="I19">
        <v>0</v>
      </c>
      <c r="J19">
        <f>H19*I19</f>
        <v>0</v>
      </c>
      <c r="K19">
        <f t="shared" si="0"/>
        <v>0</v>
      </c>
      <c r="L19">
        <f t="shared" si="2"/>
        <v>0</v>
      </c>
    </row>
    <row r="20" spans="1:13" x14ac:dyDescent="0.2">
      <c r="A20" s="1" t="s">
        <v>44</v>
      </c>
      <c r="B20" t="s">
        <v>45</v>
      </c>
      <c r="C20" s="2">
        <v>0.09</v>
      </c>
      <c r="D20">
        <v>0</v>
      </c>
      <c r="E20" t="s">
        <v>46</v>
      </c>
      <c r="F20" s="2">
        <v>0.02</v>
      </c>
      <c r="G20">
        <v>0</v>
      </c>
      <c r="H20" s="3">
        <f>(C20+F20)/2</f>
        <v>5.5E-2</v>
      </c>
      <c r="I20">
        <v>0</v>
      </c>
      <c r="J20">
        <f>H20*I20</f>
        <v>0</v>
      </c>
      <c r="K20">
        <f t="shared" si="0"/>
        <v>0</v>
      </c>
      <c r="L20">
        <f t="shared" si="2"/>
        <v>0</v>
      </c>
    </row>
    <row r="21" spans="1:13" x14ac:dyDescent="0.2">
      <c r="A21" s="1" t="s">
        <v>47</v>
      </c>
      <c r="B21" t="s">
        <v>48</v>
      </c>
      <c r="C21" s="2">
        <v>0.02</v>
      </c>
      <c r="D21">
        <v>0</v>
      </c>
      <c r="E21" t="s">
        <v>34</v>
      </c>
      <c r="F21" t="s">
        <v>34</v>
      </c>
      <c r="G21" t="s">
        <v>34</v>
      </c>
      <c r="H21">
        <v>0</v>
      </c>
      <c r="I21">
        <v>0</v>
      </c>
      <c r="J21">
        <f>H21*I21</f>
        <v>0</v>
      </c>
      <c r="K21">
        <f t="shared" si="0"/>
        <v>0</v>
      </c>
      <c r="L21">
        <f t="shared" si="2"/>
        <v>0</v>
      </c>
    </row>
    <row r="22" spans="1:13" x14ac:dyDescent="0.2">
      <c r="A22" s="1" t="s">
        <v>49</v>
      </c>
      <c r="B22" t="s">
        <v>50</v>
      </c>
      <c r="C22" s="2">
        <v>0.05</v>
      </c>
      <c r="D22">
        <v>0</v>
      </c>
      <c r="E22" t="s">
        <v>34</v>
      </c>
      <c r="F22" t="s">
        <v>34</v>
      </c>
      <c r="G22" t="s">
        <v>34</v>
      </c>
      <c r="H22">
        <v>0</v>
      </c>
      <c r="I22">
        <v>0</v>
      </c>
      <c r="J22">
        <f>H22*I22</f>
        <v>0</v>
      </c>
      <c r="K22">
        <f t="shared" si="0"/>
        <v>0</v>
      </c>
      <c r="L22">
        <f t="shared" si="2"/>
        <v>0</v>
      </c>
    </row>
    <row r="23" spans="1:13" x14ac:dyDescent="0.2">
      <c r="H23" s="2">
        <f>SUM(H2:H22)</f>
        <v>1.03</v>
      </c>
      <c r="J23">
        <f>SUM(J2:J22)</f>
        <v>0.8</v>
      </c>
      <c r="K23">
        <f>SUM(K2:K22)</f>
        <v>1</v>
      </c>
      <c r="L23">
        <f>SUM(L2:L22)</f>
        <v>15</v>
      </c>
      <c r="M23">
        <f>SUM(M2:M17)</f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Bernardo, Danilo</dc:creator>
  <cp:lastModifiedBy>Bernardo, Danilo</cp:lastModifiedBy>
  <dcterms:created xsi:type="dcterms:W3CDTF">2025-12-13T23:15:03Z</dcterms:created>
  <dcterms:modified xsi:type="dcterms:W3CDTF">2025-12-13T23:35:02Z</dcterms:modified>
</cp:coreProperties>
</file>